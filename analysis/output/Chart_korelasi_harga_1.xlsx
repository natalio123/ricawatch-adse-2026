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DataAnalysis\Lomba ADSE\"/>
    </mc:Choice>
  </mc:AlternateContent>
  <xr:revisionPtr revIDLastSave="0" documentId="13_ncr:1_{C8796C1C-4633-4B8B-B9B8-D00BD7EFBA31}" xr6:coauthVersionLast="47" xr6:coauthVersionMax="47" xr10:uidLastSave="{00000000-0000-0000-0000-000000000000}"/>
  <bookViews>
    <workbookView xWindow="9510" yWindow="0" windowWidth="9780" windowHeight="10170" xr2:uid="{45EC97B6-0637-46AE-A28F-04D824EFE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<sst xmlns="http://schemas.openxmlformats.org/spreadsheetml/2006/main" count="46" uniqueCount="15">
  <si>
    <t>Wilayah_Komoditas</t>
  </si>
  <si>
    <t>Lag</t>
  </si>
  <si>
    <t>r</t>
  </si>
  <si>
    <t>p_value</t>
  </si>
  <si>
    <t>n</t>
  </si>
  <si>
    <t>Signifikan</t>
  </si>
  <si>
    <t>H0</t>
  </si>
  <si>
    <t>H1</t>
  </si>
  <si>
    <t>H2</t>
  </si>
  <si>
    <t>H3</t>
  </si>
  <si>
    <t>Gorontalo+Bird's Eye Chili</t>
  </si>
  <si>
    <t>Kotamobagu+Bird's Eye Chili</t>
  </si>
  <si>
    <t>Tomohon+Bird's Eye Chili</t>
  </si>
  <si>
    <t>Langowan+Tomato</t>
  </si>
  <si>
    <t>Tomohon+Tomato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</si>
</sst>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4782-00EE-44E7-9EE4-305C514BA1E7}">
  <dimension ref="A1:F21"/>
  <sheetViews>
    <sheetView tabSelected="1" topLeftCell="A2" workbookViewId="0">
      <selection activeCell="A18" sqref="A18:A21"/>
    </sheetView>
  </sheetViews>
  <sheetFormatPr defaultRowHeight="14.5" x14ac:dyDescent="0.35"/>
  <cols>
    <col min="1" max="1" width="24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10</v>
      </c>
      <c r="B2" t="s">
        <v>6</v>
      </c>
      <c r="C2">
        <v>-0.26800000000000002</v>
      </c>
      <c r="D2">
        <v>5.3999999999999999E-2</v>
      </c>
      <c r="E2">
        <v>52</v>
      </c>
      <c r="F2" t="str">
        <f xml:space="preserve"> IF(D2 &lt; 0.05, "Ya","Tidak")</f>
        <v>Tidak</v>
      </c>
    </row>
    <row r="3" spans="1:6" x14ac:dyDescent="0.35">
      <c r="A3" t="s">
        <v>10</v>
      </c>
      <c r="B3" t="s">
        <v>7</v>
      </c>
      <c r="C3">
        <v>-0.215</v>
      </c>
      <c r="D3">
        <v>0.12529999999999999</v>
      </c>
      <c r="E3">
        <v>52</v>
      </c>
      <c r="F3" t="str">
        <f t="shared" ref="F3:F21" si="0" xml:space="preserve"> IF(D3 &lt; 0.05, "Ya","Tidak")</f>
        <v>Tidak</v>
      </c>
    </row>
    <row r="4" spans="1:6" x14ac:dyDescent="0.35">
      <c r="A4" t="s">
        <v>10</v>
      </c>
      <c r="B4" t="s">
        <v>8</v>
      </c>
      <c r="C4">
        <v>-0.16400000000000001</v>
      </c>
      <c r="D4">
        <v>0.24640000000000001</v>
      </c>
      <c r="E4">
        <v>52</v>
      </c>
      <c r="F4" t="str">
        <f t="shared" si="0"/>
        <v>Tidak</v>
      </c>
    </row>
    <row r="5" spans="1:6" x14ac:dyDescent="0.35">
      <c r="A5" t="s">
        <v>10</v>
      </c>
      <c r="B5" t="s">
        <v>9</v>
      </c>
      <c r="C5">
        <v>-0.14599999999999999</v>
      </c>
      <c r="D5">
        <v>0.3014</v>
      </c>
      <c r="E5">
        <v>52</v>
      </c>
      <c r="F5" t="str">
        <f t="shared" si="0"/>
        <v>Tidak</v>
      </c>
    </row>
    <row r="6" spans="1:6" x14ac:dyDescent="0.35">
      <c r="A6" t="s">
        <v>11</v>
      </c>
      <c r="B6" t="s">
        <v>6</v>
      </c>
      <c r="C6">
        <v>-0.31</v>
      </c>
      <c r="D6">
        <v>2.5399999999999999E-2</v>
      </c>
      <c r="E6">
        <v>52</v>
      </c>
      <c r="F6" t="str">
        <f t="shared" si="0"/>
        <v>Ya</v>
      </c>
    </row>
    <row r="7" spans="1:6" x14ac:dyDescent="0.35">
      <c r="A7" t="s">
        <v>11</v>
      </c>
      <c r="B7" t="s">
        <v>7</v>
      </c>
      <c r="C7">
        <v>-0.26300000000000001</v>
      </c>
      <c r="D7">
        <v>5.91E-2</v>
      </c>
      <c r="E7">
        <v>52</v>
      </c>
      <c r="F7" t="str">
        <f t="shared" si="0"/>
        <v>Tidak</v>
      </c>
    </row>
    <row r="8" spans="1:6" x14ac:dyDescent="0.35">
      <c r="A8" t="s">
        <v>11</v>
      </c>
      <c r="B8" t="s">
        <v>8</v>
      </c>
      <c r="C8">
        <v>-0.224</v>
      </c>
      <c r="D8">
        <v>0.10979999999999999</v>
      </c>
      <c r="E8">
        <v>52</v>
      </c>
      <c r="F8" t="str">
        <f t="shared" si="0"/>
        <v>Tidak</v>
      </c>
    </row>
    <row r="9" spans="1:6" x14ac:dyDescent="0.35">
      <c r="A9" t="s">
        <v>11</v>
      </c>
      <c r="B9" t="s">
        <v>9</v>
      </c>
      <c r="C9">
        <v>-0.219</v>
      </c>
      <c r="D9">
        <v>0.11899999999999999</v>
      </c>
      <c r="E9">
        <v>52</v>
      </c>
      <c r="F9" t="str">
        <f t="shared" si="0"/>
        <v>Tidak</v>
      </c>
    </row>
    <row r="10" spans="1:6" x14ac:dyDescent="0.35">
      <c r="A10" t="s">
        <v>12</v>
      </c>
      <c r="B10" t="s">
        <v>6</v>
      </c>
      <c r="C10">
        <v>-0.155</v>
      </c>
      <c r="D10">
        <v>0.27339999999999998</v>
      </c>
      <c r="E10">
        <v>52</v>
      </c>
      <c r="F10" t="str">
        <f t="shared" si="0"/>
        <v>Tidak</v>
      </c>
    </row>
    <row r="11" spans="1:6" x14ac:dyDescent="0.35">
      <c r="A11" t="s">
        <v>12</v>
      </c>
      <c r="B11" t="s">
        <v>7</v>
      </c>
      <c r="C11">
        <v>-8.5000000000000006E-2</v>
      </c>
      <c r="D11">
        <v>0.55059999999999998</v>
      </c>
      <c r="E11">
        <v>52</v>
      </c>
      <c r="F11" t="str">
        <f t="shared" si="0"/>
        <v>Tidak</v>
      </c>
    </row>
    <row r="12" spans="1:6" x14ac:dyDescent="0.35">
      <c r="A12" t="s">
        <v>12</v>
      </c>
      <c r="B12" t="s">
        <v>8</v>
      </c>
      <c r="C12">
        <v>-6.6000000000000003E-2</v>
      </c>
      <c r="D12">
        <v>0.64300000000000002</v>
      </c>
      <c r="E12">
        <v>52</v>
      </c>
      <c r="F12" t="str">
        <f t="shared" si="0"/>
        <v>Tidak</v>
      </c>
    </row>
    <row r="13" spans="1:6" x14ac:dyDescent="0.35">
      <c r="A13" t="s">
        <v>12</v>
      </c>
      <c r="B13" t="s">
        <v>9</v>
      </c>
      <c r="C13">
        <v>-0.04</v>
      </c>
      <c r="D13">
        <v>0.7762</v>
      </c>
      <c r="E13">
        <v>52</v>
      </c>
      <c r="F13" t="str">
        <f t="shared" si="0"/>
        <v>Tidak</v>
      </c>
    </row>
    <row r="14" spans="1:6" x14ac:dyDescent="0.35">
      <c r="A14" t="s">
        <v>13</v>
      </c>
      <c r="B14" t="s">
        <v>6</v>
      </c>
      <c r="C14">
        <v>-0.19900000000000001</v>
      </c>
      <c r="D14">
        <v>0.15809999999999999</v>
      </c>
      <c r="E14">
        <v>52</v>
      </c>
      <c r="F14" t="str">
        <f t="shared" si="0"/>
        <v>Tidak</v>
      </c>
    </row>
    <row r="15" spans="1:6" x14ac:dyDescent="0.35">
      <c r="A15" t="s">
        <v>13</v>
      </c>
      <c r="B15" t="s">
        <v>7</v>
      </c>
      <c r="C15">
        <v>-0.16900000000000001</v>
      </c>
      <c r="D15">
        <v>0.23119999999999999</v>
      </c>
      <c r="E15">
        <v>52</v>
      </c>
      <c r="F15" t="str">
        <f t="shared" si="0"/>
        <v>Tidak</v>
      </c>
    </row>
    <row r="16" spans="1:6" x14ac:dyDescent="0.35">
      <c r="A16" t="s">
        <v>13</v>
      </c>
      <c r="B16" t="s">
        <v>8</v>
      </c>
      <c r="C16">
        <v>-0.161</v>
      </c>
      <c r="D16">
        <v>0.255</v>
      </c>
      <c r="E16">
        <v>52</v>
      </c>
      <c r="F16" t="str">
        <f t="shared" si="0"/>
        <v>Tidak</v>
      </c>
    </row>
    <row r="17" spans="1:6" x14ac:dyDescent="0.35">
      <c r="A17" t="s">
        <v>13</v>
      </c>
      <c r="B17" t="s">
        <v>9</v>
      </c>
      <c r="C17">
        <v>-0.16</v>
      </c>
      <c r="D17">
        <v>0.25650000000000001</v>
      </c>
      <c r="E17">
        <v>52</v>
      </c>
      <c r="F17" t="str">
        <f t="shared" si="0"/>
        <v>Tidak</v>
      </c>
    </row>
    <row r="18" spans="1:6" x14ac:dyDescent="0.35">
      <c r="A18" t="s">
        <v>14</v>
      </c>
      <c r="B18" t="s">
        <v>6</v>
      </c>
      <c r="C18">
        <v>-0.218</v>
      </c>
      <c r="D18">
        <v>0.12039999999999999</v>
      </c>
      <c r="E18">
        <v>52</v>
      </c>
      <c r="F18" t="str">
        <f t="shared" si="0"/>
        <v>Tidak</v>
      </c>
    </row>
    <row r="19" spans="1:6" x14ac:dyDescent="0.35">
      <c r="A19" t="s">
        <v>14</v>
      </c>
      <c r="B19" t="s">
        <v>7</v>
      </c>
      <c r="C19">
        <v>-0.189</v>
      </c>
      <c r="D19">
        <v>0.18049999999999999</v>
      </c>
      <c r="E19">
        <v>52</v>
      </c>
      <c r="F19" t="str">
        <f t="shared" si="0"/>
        <v>Tidak</v>
      </c>
    </row>
    <row r="20" spans="1:6" x14ac:dyDescent="0.35">
      <c r="A20" t="s">
        <v>14</v>
      </c>
      <c r="B20" t="s">
        <v>8</v>
      </c>
      <c r="C20">
        <v>-0.189</v>
      </c>
      <c r="D20">
        <v>0.18049999999999999</v>
      </c>
      <c r="E20">
        <v>52</v>
      </c>
      <c r="F20" t="str">
        <f t="shared" si="0"/>
        <v>Tidak</v>
      </c>
    </row>
    <row r="21" spans="1:6" x14ac:dyDescent="0.35">
      <c r="A21" t="s">
        <v>14</v>
      </c>
      <c r="B21" t="s">
        <v>9</v>
      </c>
      <c r="C21">
        <v>-0.188</v>
      </c>
      <c r="D21">
        <v>0.182</v>
      </c>
      <c r="E21">
        <v>52</v>
      </c>
      <c r="F21" t="str">
        <f t="shared" si="0"/>
        <v>Tidak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Natalio Michael Tumuahi</dc:creator>
  <cp:lastModifiedBy>Natalio Michael Tumuahi</cp:lastModifiedBy>
  <dcterms:created xsi:type="dcterms:W3CDTF">2026-09-04T15:01:10Z</dcterms:created>
  <dcterms:modified xsi:type="dcterms:W3CDTF">2026-09-04T15:40:35Z</dcterms:modified>
</cp:coreProperties>
</file>